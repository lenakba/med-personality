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o.sharepoint.com/sites/MedicalStudentPersonality/Delte dokumenter/Personality project/data/"/>
    </mc:Choice>
  </mc:AlternateContent>
  <xr:revisionPtr revIDLastSave="0" documentId="13_ncr:1_{FA9D9D10-AF49-4E95-A8E3-FC1349611F39}" xr6:coauthVersionLast="47" xr6:coauthVersionMax="47" xr10:uidLastSave="{00000000-0000-0000-0000-000000000000}"/>
  <bookViews>
    <workbookView xWindow="0" yWindow="20" windowWidth="19180" windowHeight="10060" xr2:uid="{C3B5EBC6-AA92-47ED-A1F8-A9ABCF00C8E4}"/>
  </bookViews>
  <sheets>
    <sheet name="big-five" sheetId="1" r:id="rId1"/>
    <sheet name="mbti" sheetId="2" r:id="rId2"/>
    <sheet name="mbti_detailed" sheetId="3" r:id="rId3"/>
    <sheet name="formula_linear_interpolation" sheetId="4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2" i="3"/>
</calcChain>
</file>

<file path=xl/sharedStrings.xml><?xml version="1.0" encoding="utf-8"?>
<sst xmlns="http://schemas.openxmlformats.org/spreadsheetml/2006/main" count="117" uniqueCount="75">
  <si>
    <t> Extraversion</t>
  </si>
  <si>
    <t> Agreeableness</t>
  </si>
  <si>
    <t> Conscientiousness</t>
  </si>
  <si>
    <t> Neuroticism</t>
  </si>
  <si>
    <t> Openness</t>
  </si>
  <si>
    <t>shot_mean</t>
  </si>
  <si>
    <t>label</t>
  </si>
  <si>
    <t>shot_sd</t>
  </si>
  <si>
    <t>norwegian_worker_mean</t>
  </si>
  <si>
    <t>norwegian_worker_sd</t>
  </si>
  <si>
    <t>E</t>
  </si>
  <si>
    <t>I</t>
  </si>
  <si>
    <t>N</t>
  </si>
  <si>
    <t>S</t>
  </si>
  <si>
    <t>F</t>
  </si>
  <si>
    <t>T</t>
  </si>
  <si>
    <t>J</t>
  </si>
  <si>
    <t>P</t>
  </si>
  <si>
    <t>type</t>
  </si>
  <si>
    <t>n_unlv</t>
  </si>
  <si>
    <t>perc_unlv</t>
  </si>
  <si>
    <t>norwegian_worker_n</t>
  </si>
  <si>
    <t>shot_n</t>
  </si>
  <si>
    <r>
      <t>x</t>
    </r>
    <r>
      <rPr>
        <sz val="10"/>
        <color rgb="FF3A3A3A"/>
        <rFont val="Arial"/>
        <family val="2"/>
      </rPr>
      <t>5</t>
    </r>
    <r>
      <rPr>
        <sz val="14"/>
        <color rgb="FF3A3A3A"/>
        <rFont val="Arial"/>
        <family val="2"/>
      </rPr>
      <t> = (x</t>
    </r>
    <r>
      <rPr>
        <sz val="10"/>
        <color rgb="FF3A3A3A"/>
        <rFont val="Arial"/>
        <family val="2"/>
      </rPr>
      <t>7</t>
    </r>
    <r>
      <rPr>
        <sz val="14"/>
        <color rgb="FF3A3A3A"/>
        <rFont val="Arial"/>
        <family val="2"/>
      </rPr>
      <t> – 1)(4/6) + 1</t>
    </r>
  </si>
  <si>
    <t>https://measuringu.com/convert-point-scales/</t>
  </si>
  <si>
    <t>denom_unlv</t>
  </si>
  <si>
    <t>n_polish</t>
  </si>
  <si>
    <t>perc_polish</t>
  </si>
  <si>
    <t>denom_polish</t>
  </si>
  <si>
    <t>n_norwegian_norm</t>
  </si>
  <si>
    <t>perc_norwegian_norm</t>
  </si>
  <si>
    <t>denom_norwegian_norm</t>
  </si>
  <si>
    <t>peters_2024_mean</t>
  </si>
  <si>
    <t>peters_2024_sd</t>
  </si>
  <si>
    <t>peters_2024_chronbach</t>
  </si>
  <si>
    <t>peters_2024_n</t>
  </si>
  <si>
    <t>plaisant_et_al_2011_first_year_n</t>
  </si>
  <si>
    <t>plaisant_et_al_2011_third_year_n</t>
  </si>
  <si>
    <t>plaisant_et_al_2011_first_year_sd</t>
  </si>
  <si>
    <t>plaisant_et_al_2011_first_year_mean</t>
  </si>
  <si>
    <t>plaisant_et_al_2011_third_year_mean</t>
  </si>
  <si>
    <t>plaisant_et_al_2011_third_year_sd</t>
  </si>
  <si>
    <t>ESFJ</t>
  </si>
  <si>
    <t>ISTJ</t>
  </si>
  <si>
    <t>ESTJ</t>
  </si>
  <si>
    <t>ISFJ</t>
  </si>
  <si>
    <t>ISTP</t>
  </si>
  <si>
    <t>INFP</t>
  </si>
  <si>
    <t>ENFP</t>
  </si>
  <si>
    <t>ESFP</t>
  </si>
  <si>
    <t>ENFJ</t>
  </si>
  <si>
    <t>ISFP</t>
  </si>
  <si>
    <t>INFJ</t>
  </si>
  <si>
    <t>INTJ</t>
  </si>
  <si>
    <t>ESTP</t>
  </si>
  <si>
    <t>INTP</t>
  </si>
  <si>
    <t>ENTP</t>
  </si>
  <si>
    <t>ENTJ</t>
  </si>
  <si>
    <t>mbti_personality_text</t>
  </si>
  <si>
    <t>denom_norwegian_norm_website</t>
  </si>
  <si>
    <t>prop_norwegian_norm_website</t>
  </si>
  <si>
    <t>n_norwegian_norm_website</t>
  </si>
  <si>
    <t>prop_unlv</t>
  </si>
  <si>
    <t>denom_korean</t>
  </si>
  <si>
    <t>n_korean</t>
  </si>
  <si>
    <t>prop_korean</t>
  </si>
  <si>
    <t>n_korean_women</t>
  </si>
  <si>
    <t>denom_korean_women</t>
  </si>
  <si>
    <t>prop_korean_women</t>
  </si>
  <si>
    <t>n_korean_men</t>
  </si>
  <si>
    <t>denom_korean_men</t>
  </si>
  <si>
    <t>prop_korean_men</t>
  </si>
  <si>
    <t>n_soldier</t>
  </si>
  <si>
    <t>perc_soldier</t>
  </si>
  <si>
    <t>denom_soldier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</si>
</sst>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1F1F1F"/>
      <name val="Georgia"/>
      <family val="1"/>
    </font>
    <font>
      <sz val="11"/>
      <color rgb="FF1F1F1F"/>
      <name val="Georgia"/>
      <family val="1"/>
    </font>
    <font>
      <sz val="11"/>
      <color rgb="FF333333"/>
      <name val="Segoe UI"/>
      <family val="2"/>
    </font>
    <font>
      <sz val="14"/>
      <color rgb="FF3A3A3A"/>
      <name val="Arial"/>
      <family val="2"/>
    </font>
    <font>
      <sz val="10"/>
      <color rgb="FF3A3A3A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8E8E8E"/>
      </top>
      <bottom/>
      <diagonal/>
    </border>
    <border>
      <left/>
      <right/>
      <top/>
      <bottom style="medium">
        <color rgb="FF8E8E8E"/>
      </bottom>
      <diagonal/>
    </border>
    <border>
      <left style="medium">
        <color rgb="FFA6A6A6"/>
      </left>
      <right style="medium">
        <color rgb="FFD5D5D5"/>
      </right>
      <top style="medium">
        <color rgb="FFA6A6A6"/>
      </top>
      <bottom style="medium">
        <color rgb="FFA6A6A6"/>
      </bottom>
      <diagonal/>
    </border>
    <border>
      <left style="thick">
        <color rgb="FFD5D5D5"/>
      </left>
      <right style="medium">
        <color rgb="FFD5D5D5"/>
      </right>
      <top style="thick">
        <color rgb="FFD5D5D5"/>
      </top>
      <bottom style="medium">
        <color rgb="FFA6A6A6"/>
      </bottom>
      <diagonal/>
    </border>
    <border>
      <left style="medium">
        <color rgb="FFA6A6A6"/>
      </left>
      <right style="medium">
        <color rgb="FFD5D5D5"/>
      </right>
      <top style="thick">
        <color rgb="FFD5D5D5"/>
      </top>
      <bottom style="medium">
        <color rgb="FFA6A6A6"/>
      </bottom>
      <diagonal/>
    </border>
    <border>
      <left style="thick">
        <color rgb="FFD5D5D5"/>
      </left>
      <right style="medium">
        <color rgb="FFD5D5D5"/>
      </right>
      <top style="medium">
        <color rgb="FFA6A6A6"/>
      </top>
      <bottom style="medium">
        <color rgb="FFA6A6A6"/>
      </bottom>
      <diagonal/>
    </border>
    <border>
      <left style="thick">
        <color rgb="FFD5D5D5"/>
      </left>
      <right style="medium">
        <color rgb="FFD5D5D5"/>
      </right>
      <top style="medium">
        <color rgb="FFA6A6A6"/>
      </top>
      <bottom style="thick">
        <color rgb="FFD5D5D5"/>
      </bottom>
      <diagonal/>
    </border>
    <border>
      <left style="medium">
        <color rgb="FFA6A6A6"/>
      </left>
      <right style="medium">
        <color rgb="FFD5D5D5"/>
      </right>
      <top style="medium">
        <color rgb="FFA6A6A6"/>
      </top>
      <bottom style="thick">
        <color rgb="FFD5D5D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/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4691-4252-4CE5-8F99-3C3B2C814C95}">
  <dimension ref="A1:Q6"/>
  <sheetViews>
    <sheetView tabSelected="1" workbookViewId="0">
      <selection activeCell="H4" sqref="H4"/>
    </sheetView>
  </sheetViews>
  <sheetFormatPr defaultRowHeight="14.5" x14ac:dyDescent="0.35"/>
  <sheetData>
    <row r="1" spans="1:17" x14ac:dyDescent="0.35">
      <c r="A1" t="s">
        <v>6</v>
      </c>
      <c r="B1" t="s">
        <v>5</v>
      </c>
      <c r="C1" t="s">
        <v>7</v>
      </c>
      <c r="D1" t="s">
        <v>22</v>
      </c>
      <c r="E1" t="s">
        <v>8</v>
      </c>
      <c r="F1" t="s">
        <v>9</v>
      </c>
      <c r="G1" t="s">
        <v>21</v>
      </c>
      <c r="H1" t="s">
        <v>32</v>
      </c>
      <c r="I1" t="s">
        <v>33</v>
      </c>
      <c r="J1" t="s">
        <v>34</v>
      </c>
      <c r="K1" t="s">
        <v>35</v>
      </c>
      <c r="L1" t="s">
        <v>39</v>
      </c>
      <c r="M1" t="s">
        <v>38</v>
      </c>
      <c r="N1" t="s">
        <v>36</v>
      </c>
      <c r="O1" t="s">
        <v>40</v>
      </c>
      <c r="P1" t="s">
        <v>41</v>
      </c>
      <c r="Q1" t="s">
        <v>37</v>
      </c>
    </row>
    <row r="2" spans="1:17" ht="43.5" x14ac:dyDescent="0.35">
      <c r="A2" s="1" t="s">
        <v>1</v>
      </c>
      <c r="B2" s="2">
        <v>20.8</v>
      </c>
      <c r="C2" s="2">
        <v>4.8</v>
      </c>
      <c r="D2">
        <v>13035</v>
      </c>
      <c r="E2">
        <v>22.2</v>
      </c>
      <c r="F2">
        <v>3.4</v>
      </c>
      <c r="G2">
        <v>6327</v>
      </c>
      <c r="H2">
        <v>5.76</v>
      </c>
      <c r="I2">
        <v>0.87</v>
      </c>
      <c r="J2">
        <v>0.6</v>
      </c>
      <c r="K2">
        <v>880</v>
      </c>
      <c r="L2">
        <v>3.8</v>
      </c>
      <c r="M2">
        <v>0.61</v>
      </c>
      <c r="N2" s="15">
        <v>1132</v>
      </c>
      <c r="O2">
        <v>3.6</v>
      </c>
      <c r="P2">
        <v>0.51</v>
      </c>
      <c r="Q2">
        <v>403</v>
      </c>
    </row>
    <row r="3" spans="1:17" ht="44" thickBot="1" x14ac:dyDescent="0.4">
      <c r="A3" s="1" t="s">
        <v>2</v>
      </c>
      <c r="B3" s="2">
        <v>18.8</v>
      </c>
      <c r="C3" s="2">
        <v>5.2</v>
      </c>
      <c r="D3">
        <v>13035</v>
      </c>
      <c r="E3">
        <v>20.5</v>
      </c>
      <c r="F3">
        <v>3.6</v>
      </c>
      <c r="G3">
        <v>6327</v>
      </c>
      <c r="H3">
        <v>5.84</v>
      </c>
      <c r="I3">
        <v>0.83</v>
      </c>
      <c r="J3">
        <v>0.56999999999999995</v>
      </c>
      <c r="K3">
        <v>880</v>
      </c>
      <c r="L3">
        <v>3.4</v>
      </c>
      <c r="M3">
        <v>0.71</v>
      </c>
      <c r="N3" s="15">
        <v>1132</v>
      </c>
      <c r="O3">
        <v>3.4</v>
      </c>
      <c r="P3">
        <v>0.6</v>
      </c>
      <c r="Q3">
        <v>403</v>
      </c>
    </row>
    <row r="4" spans="1:17" ht="29" x14ac:dyDescent="0.35">
      <c r="A4" s="3" t="s">
        <v>0</v>
      </c>
      <c r="B4" s="4">
        <v>17.5</v>
      </c>
      <c r="C4" s="4">
        <v>4.5999999999999996</v>
      </c>
      <c r="D4">
        <v>13035</v>
      </c>
      <c r="E4">
        <v>19</v>
      </c>
      <c r="F4">
        <v>4.8</v>
      </c>
      <c r="G4">
        <v>6327</v>
      </c>
      <c r="H4">
        <v>4.95</v>
      </c>
      <c r="I4">
        <v>1.19</v>
      </c>
      <c r="J4">
        <v>0.77</v>
      </c>
      <c r="K4">
        <v>880</v>
      </c>
      <c r="L4">
        <v>3.1</v>
      </c>
      <c r="M4">
        <v>0.76</v>
      </c>
      <c r="N4" s="15">
        <v>1132</v>
      </c>
      <c r="O4">
        <v>3.2</v>
      </c>
      <c r="P4">
        <v>0.67</v>
      </c>
      <c r="Q4">
        <v>403</v>
      </c>
    </row>
    <row r="5" spans="1:17" ht="29" x14ac:dyDescent="0.35">
      <c r="A5" s="1" t="s">
        <v>3</v>
      </c>
      <c r="B5" s="2">
        <v>15.5</v>
      </c>
      <c r="C5" s="2">
        <v>4.9000000000000004</v>
      </c>
      <c r="D5">
        <v>13035</v>
      </c>
      <c r="E5">
        <v>12</v>
      </c>
      <c r="F5">
        <v>4.5</v>
      </c>
      <c r="G5">
        <v>6327</v>
      </c>
      <c r="H5">
        <v>3.78</v>
      </c>
      <c r="I5">
        <v>1.24</v>
      </c>
      <c r="J5">
        <v>0.74</v>
      </c>
      <c r="K5">
        <v>880</v>
      </c>
      <c r="L5">
        <v>3</v>
      </c>
      <c r="M5">
        <v>0.84</v>
      </c>
      <c r="N5" s="15">
        <v>1132</v>
      </c>
      <c r="O5">
        <v>3</v>
      </c>
      <c r="P5">
        <v>0.66</v>
      </c>
      <c r="Q5">
        <v>403</v>
      </c>
    </row>
    <row r="6" spans="1:17" ht="29.5" thickBot="1" x14ac:dyDescent="0.4">
      <c r="A6" s="5" t="s">
        <v>4</v>
      </c>
      <c r="B6" s="6">
        <v>18.399999999999999</v>
      </c>
      <c r="C6" s="7">
        <v>4.5999999999999996</v>
      </c>
      <c r="D6">
        <v>13035</v>
      </c>
      <c r="E6">
        <v>17.8</v>
      </c>
      <c r="F6">
        <v>4.7</v>
      </c>
      <c r="G6">
        <v>6327</v>
      </c>
      <c r="H6">
        <v>4.7300000000000004</v>
      </c>
      <c r="I6">
        <v>1.1599999999999999</v>
      </c>
      <c r="J6">
        <v>0.61</v>
      </c>
      <c r="K6">
        <v>880</v>
      </c>
      <c r="L6">
        <v>3.6</v>
      </c>
      <c r="M6">
        <v>0.62</v>
      </c>
      <c r="N6" s="15">
        <v>1132</v>
      </c>
      <c r="O6">
        <v>3.4</v>
      </c>
      <c r="P6">
        <v>0.54</v>
      </c>
      <c r="Q6">
        <v>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F5BC-8E25-4FE2-BD42-4B17016327D5}">
  <dimension ref="A1:S10"/>
  <sheetViews>
    <sheetView workbookViewId="0">
      <selection activeCell="G1" sqref="G1"/>
    </sheetView>
  </sheetViews>
  <sheetFormatPr defaultRowHeight="14.5" x14ac:dyDescent="0.35"/>
  <cols>
    <col min="13" max="13" width="12" bestFit="1" customWidth="1"/>
    <col min="19" max="19" width="12" bestFit="1" customWidth="1"/>
  </cols>
  <sheetData>
    <row r="1" spans="1:19" ht="15" thickBot="1" x14ac:dyDescent="0.4">
      <c r="A1" t="s">
        <v>18</v>
      </c>
      <c r="B1" t="s">
        <v>19</v>
      </c>
      <c r="C1" t="s">
        <v>20</v>
      </c>
      <c r="D1" t="s">
        <v>25</v>
      </c>
      <c r="E1" t="s">
        <v>29</v>
      </c>
      <c r="F1" t="s">
        <v>30</v>
      </c>
      <c r="G1" t="s">
        <v>31</v>
      </c>
      <c r="H1" t="s">
        <v>26</v>
      </c>
      <c r="I1" t="s">
        <v>27</v>
      </c>
      <c r="J1" t="s">
        <v>28</v>
      </c>
      <c r="K1" t="s">
        <v>64</v>
      </c>
      <c r="L1" t="s">
        <v>63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</row>
    <row r="2" spans="1:19" ht="17.5" thickTop="1" thickBot="1" x14ac:dyDescent="0.4">
      <c r="A2" s="9" t="s">
        <v>10</v>
      </c>
      <c r="B2" s="10">
        <v>47</v>
      </c>
      <c r="C2">
        <v>56.6</v>
      </c>
      <c r="D2">
        <v>83</v>
      </c>
      <c r="E2">
        <v>277</v>
      </c>
      <c r="F2">
        <v>56.2</v>
      </c>
      <c r="G2">
        <v>493</v>
      </c>
      <c r="H2">
        <v>1142</v>
      </c>
      <c r="I2">
        <v>54.3</v>
      </c>
      <c r="J2">
        <v>2104</v>
      </c>
      <c r="K2">
        <v>91</v>
      </c>
      <c r="L2">
        <v>171</v>
      </c>
      <c r="M2">
        <v>0.53216374269005851</v>
      </c>
      <c r="N2">
        <v>36</v>
      </c>
      <c r="O2">
        <v>72</v>
      </c>
      <c r="P2">
        <v>0.5</v>
      </c>
      <c r="Q2">
        <v>55</v>
      </c>
      <c r="R2">
        <v>99</v>
      </c>
      <c r="S2">
        <v>0.55555555555555558</v>
      </c>
    </row>
    <row r="3" spans="1:19" ht="17" thickBot="1" x14ac:dyDescent="0.4">
      <c r="A3" s="11" t="s">
        <v>11</v>
      </c>
      <c r="B3" s="8">
        <v>36</v>
      </c>
      <c r="C3">
        <v>43.4</v>
      </c>
      <c r="D3">
        <v>83</v>
      </c>
      <c r="E3">
        <v>216</v>
      </c>
      <c r="F3">
        <v>43.8</v>
      </c>
      <c r="G3">
        <v>493</v>
      </c>
      <c r="H3">
        <v>962</v>
      </c>
      <c r="I3">
        <v>45.7</v>
      </c>
      <c r="J3">
        <v>2104</v>
      </c>
      <c r="K3">
        <v>80</v>
      </c>
      <c r="L3">
        <v>171</v>
      </c>
      <c r="M3">
        <v>0.46783625730994149</v>
      </c>
      <c r="N3">
        <v>36</v>
      </c>
      <c r="O3">
        <v>72</v>
      </c>
      <c r="P3">
        <v>0.5</v>
      </c>
      <c r="Q3">
        <v>44</v>
      </c>
      <c r="R3">
        <v>99</v>
      </c>
      <c r="S3">
        <v>0.44444444444444442</v>
      </c>
    </row>
    <row r="4" spans="1:19" ht="17" thickBot="1" x14ac:dyDescent="0.4">
      <c r="A4" s="11" t="s">
        <v>12</v>
      </c>
      <c r="B4" s="8">
        <v>23</v>
      </c>
      <c r="C4">
        <v>27.7</v>
      </c>
      <c r="D4">
        <v>83</v>
      </c>
      <c r="E4">
        <v>144</v>
      </c>
      <c r="F4">
        <v>29.2</v>
      </c>
      <c r="G4">
        <v>493</v>
      </c>
      <c r="H4">
        <v>1112</v>
      </c>
      <c r="I4">
        <v>52.8</v>
      </c>
      <c r="J4">
        <v>2104</v>
      </c>
      <c r="K4">
        <v>63</v>
      </c>
      <c r="L4">
        <v>171</v>
      </c>
      <c r="M4">
        <v>0.36842105263157893</v>
      </c>
      <c r="N4">
        <v>46</v>
      </c>
      <c r="O4">
        <v>72</v>
      </c>
      <c r="P4">
        <v>0.63888888888888884</v>
      </c>
      <c r="Q4">
        <v>40</v>
      </c>
      <c r="R4">
        <v>99</v>
      </c>
      <c r="S4">
        <v>0.40404040404040403</v>
      </c>
    </row>
    <row r="5" spans="1:19" ht="17" thickBot="1" x14ac:dyDescent="0.4">
      <c r="A5" s="11" t="s">
        <v>13</v>
      </c>
      <c r="B5" s="8">
        <v>60</v>
      </c>
      <c r="C5">
        <v>72.3</v>
      </c>
      <c r="D5">
        <v>83</v>
      </c>
      <c r="E5">
        <v>349</v>
      </c>
      <c r="F5">
        <v>70.8</v>
      </c>
      <c r="G5">
        <v>493</v>
      </c>
      <c r="H5">
        <v>992</v>
      </c>
      <c r="I5">
        <v>47.2</v>
      </c>
      <c r="J5">
        <v>2104</v>
      </c>
      <c r="K5">
        <v>108</v>
      </c>
      <c r="L5">
        <v>171</v>
      </c>
      <c r="M5">
        <v>0.63157894736842102</v>
      </c>
      <c r="N5">
        <v>49</v>
      </c>
      <c r="O5">
        <v>72</v>
      </c>
      <c r="P5">
        <v>0.68055555555555558</v>
      </c>
      <c r="Q5">
        <v>59</v>
      </c>
      <c r="R5">
        <v>99</v>
      </c>
      <c r="S5">
        <v>0.59595959595959591</v>
      </c>
    </row>
    <row r="6" spans="1:19" ht="17" thickBot="1" x14ac:dyDescent="0.4">
      <c r="A6" s="11" t="s">
        <v>14</v>
      </c>
      <c r="B6" s="8">
        <v>29</v>
      </c>
      <c r="C6">
        <v>34.9</v>
      </c>
      <c r="D6">
        <v>83</v>
      </c>
      <c r="E6">
        <v>231</v>
      </c>
      <c r="F6">
        <v>46.9</v>
      </c>
      <c r="G6">
        <v>493</v>
      </c>
      <c r="H6">
        <v>1466</v>
      </c>
      <c r="I6">
        <v>69.900000000000006</v>
      </c>
      <c r="J6">
        <v>2104</v>
      </c>
      <c r="K6">
        <v>69</v>
      </c>
      <c r="L6">
        <v>171</v>
      </c>
      <c r="M6">
        <v>0.40350877192982454</v>
      </c>
      <c r="N6">
        <v>26</v>
      </c>
      <c r="O6">
        <v>72</v>
      </c>
      <c r="P6">
        <v>0.3611111111111111</v>
      </c>
      <c r="Q6">
        <v>43</v>
      </c>
      <c r="R6">
        <v>99</v>
      </c>
      <c r="S6">
        <v>0.43434343434343436</v>
      </c>
    </row>
    <row r="7" spans="1:19" ht="17" thickBot="1" x14ac:dyDescent="0.4">
      <c r="A7" s="11" t="s">
        <v>15</v>
      </c>
      <c r="B7" s="8">
        <v>54</v>
      </c>
      <c r="C7">
        <v>65.099999999999994</v>
      </c>
      <c r="D7">
        <v>83</v>
      </c>
      <c r="E7">
        <v>262</v>
      </c>
      <c r="F7">
        <v>53.1</v>
      </c>
      <c r="G7">
        <v>493</v>
      </c>
      <c r="H7">
        <v>638</v>
      </c>
      <c r="I7">
        <v>30.3</v>
      </c>
      <c r="J7">
        <v>2104</v>
      </c>
      <c r="K7">
        <v>102</v>
      </c>
      <c r="L7">
        <v>171</v>
      </c>
      <c r="M7">
        <v>0.59649122807017541</v>
      </c>
      <c r="N7">
        <v>46</v>
      </c>
      <c r="O7">
        <v>72</v>
      </c>
      <c r="P7">
        <v>0.63888888888888884</v>
      </c>
      <c r="Q7">
        <v>56</v>
      </c>
      <c r="R7">
        <v>99</v>
      </c>
      <c r="S7">
        <v>0.56565656565656564</v>
      </c>
    </row>
    <row r="8" spans="1:19" ht="17" thickBot="1" x14ac:dyDescent="0.4">
      <c r="A8" s="11" t="s">
        <v>16</v>
      </c>
      <c r="B8" s="8">
        <v>31</v>
      </c>
      <c r="C8">
        <v>37.299999999999997</v>
      </c>
      <c r="D8">
        <v>83</v>
      </c>
      <c r="E8">
        <v>249</v>
      </c>
      <c r="F8">
        <v>50.5</v>
      </c>
      <c r="G8">
        <v>493</v>
      </c>
      <c r="H8">
        <v>1403</v>
      </c>
      <c r="I8">
        <v>66.7</v>
      </c>
      <c r="J8">
        <v>2104</v>
      </c>
      <c r="K8">
        <v>96</v>
      </c>
      <c r="L8">
        <v>171</v>
      </c>
      <c r="M8">
        <v>0.56140350877192979</v>
      </c>
      <c r="N8">
        <v>46</v>
      </c>
      <c r="O8">
        <v>72</v>
      </c>
      <c r="P8">
        <v>0.63888888888888884</v>
      </c>
      <c r="Q8">
        <v>50</v>
      </c>
      <c r="R8">
        <v>99</v>
      </c>
      <c r="S8">
        <v>0.50505050505050508</v>
      </c>
    </row>
    <row r="9" spans="1:19" ht="17" thickBot="1" x14ac:dyDescent="0.4">
      <c r="A9" s="12" t="s">
        <v>17</v>
      </c>
      <c r="B9" s="13">
        <v>52</v>
      </c>
      <c r="C9">
        <v>62.7</v>
      </c>
      <c r="D9">
        <v>83</v>
      </c>
      <c r="E9">
        <v>244</v>
      </c>
      <c r="F9">
        <v>49.5</v>
      </c>
      <c r="G9">
        <v>493</v>
      </c>
      <c r="H9">
        <v>701</v>
      </c>
      <c r="I9">
        <v>33.299999999999997</v>
      </c>
      <c r="J9">
        <v>2104</v>
      </c>
      <c r="K9">
        <v>75</v>
      </c>
      <c r="L9">
        <v>171</v>
      </c>
      <c r="M9">
        <v>0.43859649122807015</v>
      </c>
      <c r="N9">
        <v>26</v>
      </c>
      <c r="O9">
        <v>72</v>
      </c>
      <c r="P9">
        <v>0.3611111111111111</v>
      </c>
      <c r="Q9">
        <v>49</v>
      </c>
      <c r="R9">
        <v>99</v>
      </c>
      <c r="S9">
        <v>0.49494949494949497</v>
      </c>
    </row>
    <row r="10" spans="1:19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828D-7F97-4382-AB4A-5590A50282AF}">
  <dimension ref="A1:V17"/>
  <sheetViews>
    <sheetView workbookViewId="0">
      <selection activeCell="D2" sqref="D2"/>
    </sheetView>
  </sheetViews>
  <sheetFormatPr defaultRowHeight="14.5" x14ac:dyDescent="0.35"/>
  <cols>
    <col min="3" max="3" width="12" bestFit="1" customWidth="1"/>
    <col min="6" max="6" width="12" bestFit="1" customWidth="1"/>
    <col min="8" max="8" width="10" bestFit="1" customWidth="1"/>
    <col min="17" max="17" width="23" customWidth="1"/>
    <col min="18" max="18" width="9.7265625" customWidth="1"/>
    <col min="19" max="19" width="23" customWidth="1"/>
  </cols>
  <sheetData>
    <row r="1" spans="1:22" x14ac:dyDescent="0.35">
      <c r="A1" t="s">
        <v>58</v>
      </c>
      <c r="B1" t="s">
        <v>72</v>
      </c>
      <c r="C1" t="s">
        <v>73</v>
      </c>
      <c r="D1" t="s">
        <v>74</v>
      </c>
      <c r="E1" t="s">
        <v>29</v>
      </c>
      <c r="F1" t="s">
        <v>30</v>
      </c>
      <c r="G1" t="s">
        <v>31</v>
      </c>
      <c r="H1" t="s">
        <v>61</v>
      </c>
      <c r="I1" t="s">
        <v>60</v>
      </c>
      <c r="J1" t="s">
        <v>59</v>
      </c>
      <c r="K1" t="s">
        <v>62</v>
      </c>
      <c r="L1" t="s">
        <v>19</v>
      </c>
      <c r="M1" t="s">
        <v>25</v>
      </c>
      <c r="N1" t="s">
        <v>64</v>
      </c>
      <c r="O1" t="s">
        <v>63</v>
      </c>
      <c r="P1" t="s">
        <v>65</v>
      </c>
      <c r="Q1" t="s">
        <v>68</v>
      </c>
      <c r="R1" t="s">
        <v>66</v>
      </c>
      <c r="S1" t="s">
        <v>67</v>
      </c>
      <c r="T1" t="s">
        <v>71</v>
      </c>
      <c r="U1" t="s">
        <v>69</v>
      </c>
      <c r="V1" t="s">
        <v>70</v>
      </c>
    </row>
    <row r="2" spans="1:22" x14ac:dyDescent="0.35">
      <c r="A2" t="s">
        <v>42</v>
      </c>
      <c r="B2">
        <v>50</v>
      </c>
      <c r="C2">
        <f t="shared" ref="C2:C17" si="0">B2/D2</f>
        <v>0.16233766233766234</v>
      </c>
      <c r="D2">
        <v>308</v>
      </c>
      <c r="E2">
        <v>40</v>
      </c>
      <c r="F2">
        <f t="shared" ref="F2:F17" si="1">E2/G2</f>
        <v>8.1135902636916835E-2</v>
      </c>
      <c r="G2">
        <v>493</v>
      </c>
      <c r="H2">
        <v>12040</v>
      </c>
      <c r="I2">
        <v>7.5499999999999998E-2</v>
      </c>
      <c r="J2" s="15">
        <v>159468</v>
      </c>
      <c r="K2">
        <v>5.3270771585999993E-2</v>
      </c>
      <c r="L2">
        <v>4</v>
      </c>
      <c r="M2">
        <v>83</v>
      </c>
      <c r="N2">
        <v>18</v>
      </c>
      <c r="O2">
        <v>171</v>
      </c>
      <c r="P2">
        <f t="shared" ref="P2:P17" si="2">N2/O2</f>
        <v>0.10526315789473684</v>
      </c>
      <c r="Q2">
        <v>7.850544410150892E-2</v>
      </c>
      <c r="R2">
        <v>6</v>
      </c>
      <c r="S2">
        <v>72</v>
      </c>
      <c r="T2">
        <v>7.2629387665268358E-2</v>
      </c>
      <c r="U2">
        <v>7</v>
      </c>
      <c r="V2">
        <v>99</v>
      </c>
    </row>
    <row r="3" spans="1:22" x14ac:dyDescent="0.35">
      <c r="A3" t="s">
        <v>43</v>
      </c>
      <c r="B3">
        <v>46</v>
      </c>
      <c r="C3">
        <f t="shared" si="0"/>
        <v>0.14935064935064934</v>
      </c>
      <c r="D3">
        <v>308</v>
      </c>
      <c r="E3">
        <v>56</v>
      </c>
      <c r="F3">
        <f t="shared" si="1"/>
        <v>0.11359026369168357</v>
      </c>
      <c r="G3">
        <v>493</v>
      </c>
      <c r="H3">
        <v>5246</v>
      </c>
      <c r="I3">
        <v>3.2899999999999999E-2</v>
      </c>
      <c r="J3" s="15">
        <v>159468</v>
      </c>
      <c r="K3">
        <v>7.6193486586000003E-2</v>
      </c>
      <c r="L3">
        <v>6</v>
      </c>
      <c r="M3">
        <v>83</v>
      </c>
      <c r="N3">
        <v>28</v>
      </c>
      <c r="O3">
        <v>171</v>
      </c>
      <c r="P3">
        <f t="shared" si="2"/>
        <v>0.16374269005847952</v>
      </c>
      <c r="Q3">
        <v>0.13889424725651575</v>
      </c>
      <c r="R3">
        <v>10</v>
      </c>
      <c r="S3">
        <v>72</v>
      </c>
      <c r="T3">
        <v>7.5669687614047035E-2</v>
      </c>
      <c r="U3">
        <v>7</v>
      </c>
      <c r="V3">
        <v>99</v>
      </c>
    </row>
    <row r="4" spans="1:22" x14ac:dyDescent="0.35">
      <c r="A4" t="s">
        <v>44</v>
      </c>
      <c r="B4">
        <v>37</v>
      </c>
      <c r="C4">
        <f t="shared" si="0"/>
        <v>0.12012987012987013</v>
      </c>
      <c r="D4">
        <v>308</v>
      </c>
      <c r="E4">
        <v>72</v>
      </c>
      <c r="F4">
        <f t="shared" si="1"/>
        <v>0.1460446247464503</v>
      </c>
      <c r="G4">
        <v>493</v>
      </c>
      <c r="H4">
        <v>5948</v>
      </c>
      <c r="I4">
        <v>3.73E-2</v>
      </c>
      <c r="J4" s="15">
        <v>159468</v>
      </c>
      <c r="K4">
        <v>9.936754241399999E-2</v>
      </c>
      <c r="L4">
        <v>8</v>
      </c>
      <c r="M4">
        <v>83</v>
      </c>
      <c r="N4">
        <v>24</v>
      </c>
      <c r="O4">
        <v>171</v>
      </c>
      <c r="P4">
        <f t="shared" si="2"/>
        <v>0.14035087719298245</v>
      </c>
      <c r="Q4">
        <v>0.13889424725651575</v>
      </c>
      <c r="R4">
        <v>10</v>
      </c>
      <c r="S4">
        <v>72</v>
      </c>
      <c r="T4">
        <v>9.458710951755879E-2</v>
      </c>
      <c r="U4">
        <v>9</v>
      </c>
      <c r="V4">
        <v>99</v>
      </c>
    </row>
    <row r="5" spans="1:22" x14ac:dyDescent="0.35">
      <c r="A5" t="s">
        <v>45</v>
      </c>
      <c r="B5">
        <v>27</v>
      </c>
      <c r="C5">
        <f t="shared" si="0"/>
        <v>8.7662337662337664E-2</v>
      </c>
      <c r="D5">
        <v>308</v>
      </c>
      <c r="E5">
        <v>45</v>
      </c>
      <c r="F5">
        <f t="shared" si="1"/>
        <v>9.1277890466531439E-2</v>
      </c>
      <c r="G5">
        <v>493</v>
      </c>
      <c r="H5">
        <v>10030</v>
      </c>
      <c r="I5">
        <v>6.2899999999999998E-2</v>
      </c>
      <c r="J5" s="15">
        <v>159468</v>
      </c>
      <c r="K5">
        <v>4.0847199414000002E-2</v>
      </c>
      <c r="L5">
        <v>3</v>
      </c>
      <c r="M5">
        <v>83</v>
      </c>
      <c r="N5">
        <v>9</v>
      </c>
      <c r="O5">
        <v>171</v>
      </c>
      <c r="P5">
        <f t="shared" si="2"/>
        <v>5.2631578947368418E-2</v>
      </c>
      <c r="Q5">
        <v>7.850544410150892E-2</v>
      </c>
      <c r="R5">
        <v>6</v>
      </c>
      <c r="S5">
        <v>72</v>
      </c>
      <c r="T5">
        <v>5.8103510132214688E-2</v>
      </c>
      <c r="U5">
        <v>6</v>
      </c>
      <c r="V5">
        <v>99</v>
      </c>
    </row>
    <row r="6" spans="1:22" x14ac:dyDescent="0.35">
      <c r="A6" t="s">
        <v>46</v>
      </c>
      <c r="B6">
        <v>23</v>
      </c>
      <c r="C6">
        <f t="shared" si="0"/>
        <v>7.4675324675324672E-2</v>
      </c>
      <c r="D6">
        <v>308</v>
      </c>
      <c r="E6">
        <v>45</v>
      </c>
      <c r="F6">
        <f t="shared" si="1"/>
        <v>9.1277890466531439E-2</v>
      </c>
      <c r="G6">
        <v>493</v>
      </c>
      <c r="H6">
        <v>4050</v>
      </c>
      <c r="I6">
        <v>2.5399999999999999E-2</v>
      </c>
      <c r="J6" s="15">
        <v>159468</v>
      </c>
      <c r="K6">
        <v>0.12807859541400002</v>
      </c>
      <c r="L6">
        <v>11</v>
      </c>
      <c r="M6">
        <v>83</v>
      </c>
      <c r="N6">
        <v>9</v>
      </c>
      <c r="O6">
        <v>171</v>
      </c>
      <c r="P6">
        <f t="shared" si="2"/>
        <v>5.2631578947368418E-2</v>
      </c>
      <c r="Q6">
        <v>7.8505444101508906E-2</v>
      </c>
      <c r="R6">
        <v>6</v>
      </c>
      <c r="S6">
        <v>72</v>
      </c>
      <c r="T6">
        <v>7.4156293861766087E-2</v>
      </c>
      <c r="U6">
        <v>7</v>
      </c>
      <c r="V6">
        <v>99</v>
      </c>
    </row>
    <row r="7" spans="1:22" x14ac:dyDescent="0.35">
      <c r="A7" t="s">
        <v>47</v>
      </c>
      <c r="B7">
        <v>19</v>
      </c>
      <c r="C7">
        <f t="shared" si="0"/>
        <v>6.1688311688311688E-2</v>
      </c>
      <c r="D7">
        <v>308</v>
      </c>
      <c r="E7">
        <v>16</v>
      </c>
      <c r="F7">
        <f t="shared" si="1"/>
        <v>3.2454361054766734E-2</v>
      </c>
      <c r="G7">
        <v>493</v>
      </c>
      <c r="H7">
        <v>24813</v>
      </c>
      <c r="I7">
        <v>0.15559999999999999</v>
      </c>
      <c r="J7" s="15">
        <v>159468</v>
      </c>
      <c r="K7">
        <v>1.5649618585999999E-2</v>
      </c>
      <c r="L7">
        <v>1</v>
      </c>
      <c r="M7">
        <v>83</v>
      </c>
      <c r="N7">
        <v>8</v>
      </c>
      <c r="O7">
        <v>171</v>
      </c>
      <c r="P7">
        <f t="shared" si="2"/>
        <v>4.6783625730994149E-2</v>
      </c>
      <c r="Q7">
        <v>4.1655949931412889E-2</v>
      </c>
      <c r="R7">
        <v>3</v>
      </c>
      <c r="S7">
        <v>72</v>
      </c>
      <c r="T7">
        <v>3.8604366053946029E-2</v>
      </c>
      <c r="U7">
        <v>4</v>
      </c>
      <c r="V7">
        <v>99</v>
      </c>
    </row>
    <row r="8" spans="1:22" x14ac:dyDescent="0.35">
      <c r="A8" t="s">
        <v>48</v>
      </c>
      <c r="B8">
        <v>18</v>
      </c>
      <c r="C8">
        <f t="shared" si="0"/>
        <v>5.844155844155844E-2</v>
      </c>
      <c r="D8">
        <v>308</v>
      </c>
      <c r="E8">
        <v>46</v>
      </c>
      <c r="F8">
        <f t="shared" si="1"/>
        <v>9.330628803245436E-2</v>
      </c>
      <c r="G8">
        <v>493</v>
      </c>
      <c r="H8">
        <v>22357</v>
      </c>
      <c r="I8">
        <v>0.14019999999999999</v>
      </c>
      <c r="J8" s="15">
        <v>159468</v>
      </c>
      <c r="K8">
        <v>3.4307507585999999E-2</v>
      </c>
      <c r="L8">
        <v>3</v>
      </c>
      <c r="M8">
        <v>83</v>
      </c>
      <c r="N8">
        <v>16</v>
      </c>
      <c r="O8">
        <v>171</v>
      </c>
      <c r="P8">
        <f t="shared" si="2"/>
        <v>9.3567251461988299E-2</v>
      </c>
      <c r="Q8">
        <v>4.1655949931412889E-2</v>
      </c>
      <c r="R8">
        <v>3</v>
      </c>
      <c r="S8">
        <v>72</v>
      </c>
      <c r="T8">
        <v>4.8255457567432547E-2</v>
      </c>
      <c r="U8">
        <v>5</v>
      </c>
      <c r="V8">
        <v>99</v>
      </c>
    </row>
    <row r="9" spans="1:22" x14ac:dyDescent="0.35">
      <c r="A9" t="s">
        <v>49</v>
      </c>
      <c r="B9">
        <v>16</v>
      </c>
      <c r="C9">
        <f t="shared" si="0"/>
        <v>5.1948051948051951E-2</v>
      </c>
      <c r="D9">
        <v>308</v>
      </c>
      <c r="E9">
        <v>40</v>
      </c>
      <c r="F9">
        <f t="shared" si="1"/>
        <v>8.1135902636916835E-2</v>
      </c>
      <c r="G9">
        <v>493</v>
      </c>
      <c r="H9">
        <v>8053</v>
      </c>
      <c r="I9">
        <v>5.0500000000000003E-2</v>
      </c>
      <c r="J9" s="15">
        <v>159468</v>
      </c>
      <c r="K9">
        <v>8.9546310413999991E-2</v>
      </c>
      <c r="L9">
        <v>7</v>
      </c>
      <c r="M9">
        <v>83</v>
      </c>
      <c r="N9">
        <v>1</v>
      </c>
      <c r="O9">
        <v>171</v>
      </c>
      <c r="P9">
        <f t="shared" si="2"/>
        <v>5.8479532163742687E-3</v>
      </c>
      <c r="Q9">
        <v>4.4372642318244171E-2</v>
      </c>
      <c r="R9">
        <v>3</v>
      </c>
      <c r="S9">
        <v>72</v>
      </c>
      <c r="T9">
        <v>7.117679991196299E-2</v>
      </c>
      <c r="U9">
        <v>7</v>
      </c>
      <c r="V9">
        <v>99</v>
      </c>
    </row>
    <row r="10" spans="1:22" x14ac:dyDescent="0.35">
      <c r="A10" t="s">
        <v>50</v>
      </c>
      <c r="B10">
        <v>16</v>
      </c>
      <c r="C10">
        <f t="shared" si="0"/>
        <v>5.1948051948051951E-2</v>
      </c>
      <c r="D10">
        <v>308</v>
      </c>
      <c r="E10">
        <v>10</v>
      </c>
      <c r="F10">
        <f t="shared" si="1"/>
        <v>2.0283975659229209E-2</v>
      </c>
      <c r="G10">
        <v>493</v>
      </c>
      <c r="H10">
        <v>10413</v>
      </c>
      <c r="I10">
        <v>6.5299999999999997E-2</v>
      </c>
      <c r="J10" s="15">
        <v>159468</v>
      </c>
      <c r="K10">
        <v>2.0409410413999997E-2</v>
      </c>
      <c r="L10">
        <v>2</v>
      </c>
      <c r="M10">
        <v>83</v>
      </c>
      <c r="N10">
        <v>5</v>
      </c>
      <c r="O10">
        <v>171</v>
      </c>
      <c r="P10">
        <f t="shared" si="2"/>
        <v>2.9239766081871343E-2</v>
      </c>
      <c r="Q10">
        <v>7.3698988340192034E-2</v>
      </c>
      <c r="R10">
        <v>5</v>
      </c>
      <c r="S10">
        <v>72</v>
      </c>
      <c r="T10">
        <v>4.9240262823910759E-2</v>
      </c>
      <c r="U10">
        <v>5</v>
      </c>
      <c r="V10">
        <v>99</v>
      </c>
    </row>
    <row r="11" spans="1:22" x14ac:dyDescent="0.35">
      <c r="A11" t="s">
        <v>51</v>
      </c>
      <c r="B11">
        <v>12</v>
      </c>
      <c r="C11">
        <f t="shared" si="0"/>
        <v>3.896103896103896E-2</v>
      </c>
      <c r="D11">
        <v>308</v>
      </c>
      <c r="E11">
        <v>24</v>
      </c>
      <c r="F11">
        <f t="shared" si="1"/>
        <v>4.8681541582150101E-2</v>
      </c>
      <c r="G11">
        <v>493</v>
      </c>
      <c r="H11">
        <v>7702</v>
      </c>
      <c r="I11">
        <v>4.8300000000000003E-2</v>
      </c>
      <c r="J11" s="15">
        <v>159468</v>
      </c>
      <c r="K11">
        <v>6.8662718585999996E-2</v>
      </c>
      <c r="L11">
        <v>6</v>
      </c>
      <c r="M11">
        <v>83</v>
      </c>
      <c r="N11">
        <v>10</v>
      </c>
      <c r="O11">
        <v>171</v>
      </c>
      <c r="P11">
        <f t="shared" si="2"/>
        <v>5.8479532163742687E-2</v>
      </c>
      <c r="Q11">
        <v>4.4372642318244171E-2</v>
      </c>
      <c r="R11">
        <v>3</v>
      </c>
      <c r="S11">
        <v>72</v>
      </c>
      <c r="T11">
        <v>5.6941439929570389E-2</v>
      </c>
      <c r="U11">
        <v>6</v>
      </c>
      <c r="V11">
        <v>99</v>
      </c>
    </row>
    <row r="12" spans="1:22" x14ac:dyDescent="0.35">
      <c r="A12" t="s">
        <v>52</v>
      </c>
      <c r="B12">
        <v>12</v>
      </c>
      <c r="C12">
        <f t="shared" si="0"/>
        <v>3.896103896103896E-2</v>
      </c>
      <c r="D12">
        <v>308</v>
      </c>
      <c r="E12">
        <v>10</v>
      </c>
      <c r="F12">
        <f t="shared" si="1"/>
        <v>2.0283975659229209E-2</v>
      </c>
      <c r="G12">
        <v>493</v>
      </c>
      <c r="H12">
        <v>13156</v>
      </c>
      <c r="I12">
        <v>8.2500000000000004E-2</v>
      </c>
      <c r="J12" s="15">
        <v>159468</v>
      </c>
      <c r="K12">
        <v>1.5649618585999999E-2</v>
      </c>
      <c r="L12">
        <v>1</v>
      </c>
      <c r="M12">
        <v>83</v>
      </c>
      <c r="N12">
        <v>2</v>
      </c>
      <c r="O12">
        <v>171</v>
      </c>
      <c r="P12">
        <f t="shared" si="2"/>
        <v>1.1695906432748537E-2</v>
      </c>
      <c r="Q12">
        <v>7.3698988340192034E-2</v>
      </c>
      <c r="R12">
        <v>5</v>
      </c>
      <c r="S12">
        <v>72</v>
      </c>
      <c r="T12">
        <v>3.9392210259128604E-2</v>
      </c>
      <c r="U12">
        <v>4</v>
      </c>
      <c r="V12">
        <v>99</v>
      </c>
    </row>
    <row r="13" spans="1:22" x14ac:dyDescent="0.35">
      <c r="A13" t="s">
        <v>53</v>
      </c>
      <c r="B13">
        <v>9</v>
      </c>
      <c r="C13">
        <f t="shared" si="0"/>
        <v>2.922077922077922E-2</v>
      </c>
      <c r="D13">
        <v>308</v>
      </c>
      <c r="E13">
        <v>3</v>
      </c>
      <c r="F13">
        <f t="shared" si="1"/>
        <v>6.0851926977687626E-3</v>
      </c>
      <c r="G13">
        <v>493</v>
      </c>
      <c r="H13">
        <v>6522</v>
      </c>
      <c r="I13">
        <v>4.0899999999999999E-2</v>
      </c>
      <c r="J13" s="15">
        <v>159468</v>
      </c>
      <c r="K13">
        <v>2.9191695414000001E-2</v>
      </c>
      <c r="L13">
        <v>2</v>
      </c>
      <c r="M13">
        <v>83</v>
      </c>
      <c r="N13">
        <v>4</v>
      </c>
      <c r="O13">
        <v>171</v>
      </c>
      <c r="P13">
        <f t="shared" si="2"/>
        <v>2.3391812865497075E-2</v>
      </c>
      <c r="Q13">
        <v>0.13039051783264743</v>
      </c>
      <c r="R13">
        <v>9</v>
      </c>
      <c r="S13">
        <v>72</v>
      </c>
      <c r="T13">
        <v>5.1301483128167472E-2</v>
      </c>
      <c r="U13">
        <v>5</v>
      </c>
      <c r="V13">
        <v>99</v>
      </c>
    </row>
    <row r="14" spans="1:22" x14ac:dyDescent="0.35">
      <c r="A14" t="s">
        <v>54</v>
      </c>
      <c r="B14">
        <v>7</v>
      </c>
      <c r="C14">
        <f t="shared" si="0"/>
        <v>2.2727272727272728E-2</v>
      </c>
      <c r="D14">
        <v>308</v>
      </c>
      <c r="E14">
        <v>27</v>
      </c>
      <c r="F14">
        <f t="shared" si="1"/>
        <v>5.4766734279918863E-2</v>
      </c>
      <c r="G14">
        <v>493</v>
      </c>
      <c r="H14">
        <v>4019</v>
      </c>
      <c r="I14">
        <v>2.52E-2</v>
      </c>
      <c r="J14" s="15">
        <v>159468</v>
      </c>
      <c r="K14">
        <v>0.16703337558599998</v>
      </c>
      <c r="L14">
        <v>14</v>
      </c>
      <c r="M14">
        <v>83</v>
      </c>
      <c r="N14">
        <v>9</v>
      </c>
      <c r="O14">
        <v>171</v>
      </c>
      <c r="P14">
        <f t="shared" si="2"/>
        <v>5.2631578947368418E-2</v>
      </c>
      <c r="Q14">
        <v>7.8505444101508906E-2</v>
      </c>
      <c r="R14">
        <v>6</v>
      </c>
      <c r="S14">
        <v>72</v>
      </c>
      <c r="T14">
        <v>9.2695367327207623E-2</v>
      </c>
      <c r="U14">
        <v>9</v>
      </c>
      <c r="V14">
        <v>99</v>
      </c>
    </row>
    <row r="15" spans="1:22" x14ac:dyDescent="0.35">
      <c r="A15" t="s">
        <v>55</v>
      </c>
      <c r="B15">
        <v>7</v>
      </c>
      <c r="C15">
        <f t="shared" si="0"/>
        <v>2.2727272727272728E-2</v>
      </c>
      <c r="D15">
        <v>308</v>
      </c>
      <c r="E15">
        <v>17</v>
      </c>
      <c r="F15">
        <f t="shared" si="1"/>
        <v>3.4482758620689655E-2</v>
      </c>
      <c r="G15">
        <v>493</v>
      </c>
      <c r="H15">
        <v>11434</v>
      </c>
      <c r="I15">
        <v>7.17E-2</v>
      </c>
      <c r="J15" s="15">
        <v>159468</v>
      </c>
      <c r="K15">
        <v>4.9070222586000002E-2</v>
      </c>
      <c r="L15">
        <v>4</v>
      </c>
      <c r="M15">
        <v>83</v>
      </c>
      <c r="N15">
        <v>10</v>
      </c>
      <c r="O15">
        <v>171</v>
      </c>
      <c r="P15">
        <f t="shared" si="2"/>
        <v>5.8479532163742687E-2</v>
      </c>
      <c r="Q15">
        <v>7.3698988340192034E-2</v>
      </c>
      <c r="R15">
        <v>5</v>
      </c>
      <c r="S15">
        <v>72</v>
      </c>
      <c r="T15">
        <v>5.0275453465604122E-2</v>
      </c>
      <c r="U15">
        <v>5</v>
      </c>
      <c r="V15">
        <v>99</v>
      </c>
    </row>
    <row r="16" spans="1:22" x14ac:dyDescent="0.35">
      <c r="A16" t="s">
        <v>56</v>
      </c>
      <c r="B16">
        <v>5</v>
      </c>
      <c r="C16">
        <f t="shared" si="0"/>
        <v>1.6233766233766232E-2</v>
      </c>
      <c r="D16">
        <v>308</v>
      </c>
      <c r="E16">
        <v>29</v>
      </c>
      <c r="F16">
        <f t="shared" si="1"/>
        <v>5.8823529411764705E-2</v>
      </c>
      <c r="G16">
        <v>493</v>
      </c>
      <c r="H16">
        <v>9153</v>
      </c>
      <c r="I16">
        <v>5.74E-2</v>
      </c>
      <c r="J16" s="15">
        <v>159468</v>
      </c>
      <c r="K16">
        <v>6.3994806414000002E-2</v>
      </c>
      <c r="L16">
        <v>5</v>
      </c>
      <c r="M16">
        <v>83</v>
      </c>
      <c r="N16">
        <v>12</v>
      </c>
      <c r="O16">
        <v>171</v>
      </c>
      <c r="P16">
        <f t="shared" si="2"/>
        <v>7.0175438596491224E-2</v>
      </c>
      <c r="Q16">
        <v>7.3698988340192034E-2</v>
      </c>
      <c r="R16">
        <v>5</v>
      </c>
      <c r="S16">
        <v>72</v>
      </c>
      <c r="T16">
        <v>6.2844316832005157E-2</v>
      </c>
      <c r="U16">
        <v>6</v>
      </c>
      <c r="V16">
        <v>99</v>
      </c>
    </row>
    <row r="17" spans="1:22" x14ac:dyDescent="0.35">
      <c r="A17" t="s">
        <v>57</v>
      </c>
      <c r="B17">
        <v>4</v>
      </c>
      <c r="C17">
        <f t="shared" si="0"/>
        <v>1.2987012987012988E-2</v>
      </c>
      <c r="D17">
        <v>308</v>
      </c>
      <c r="E17">
        <v>13</v>
      </c>
      <c r="F17">
        <f t="shared" si="1"/>
        <v>2.6369168356997971E-2</v>
      </c>
      <c r="G17">
        <v>493</v>
      </c>
      <c r="H17">
        <v>4529</v>
      </c>
      <c r="I17">
        <v>2.8400000000000002E-2</v>
      </c>
      <c r="J17" s="15">
        <v>159468</v>
      </c>
      <c r="K17">
        <v>3.8070275585999999E-2</v>
      </c>
      <c r="L17">
        <v>3</v>
      </c>
      <c r="M17">
        <v>83</v>
      </c>
      <c r="N17">
        <v>6</v>
      </c>
      <c r="O17">
        <v>171</v>
      </c>
      <c r="P17">
        <f t="shared" si="2"/>
        <v>3.5087719298245612E-2</v>
      </c>
      <c r="Q17">
        <v>0.13039051783264743</v>
      </c>
      <c r="R17">
        <v>9</v>
      </c>
      <c r="S17">
        <v>72</v>
      </c>
      <c r="T17">
        <v>6.412685391020935E-2</v>
      </c>
      <c r="U17">
        <v>6</v>
      </c>
      <c r="V17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FA78-8D01-42F8-A302-92DD7B1E1481}">
  <dimension ref="A1:D1"/>
  <sheetViews>
    <sheetView workbookViewId="0">
      <selection activeCell="B31" sqref="B31"/>
    </sheetView>
  </sheetViews>
  <sheetFormatPr defaultRowHeight="14.5" x14ac:dyDescent="0.35"/>
  <sheetData>
    <row r="1" spans="1:4" ht="17.5" x14ac:dyDescent="0.35">
      <c r="A1" s="14" t="s">
        <v>23</v>
      </c>
      <c r="D1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BA54-4CBC-44F1-A1EC-D133B449B7BF}">
  <dimension ref="A1:D30"/>
  <sheetViews>
    <sheetView workbookViewId="0">
      <selection activeCell="F6" sqref="F6"/>
    </sheetView>
  </sheetViews>
  <sheetFormatPr defaultRowHeight="14.5" x14ac:dyDescent="0.35"/>
  <cols>
    <col min="2" max="2" width="19.6328125" customWidth="1"/>
    <col min="8" max="8" width="31.90625" customWidth="1"/>
  </cols>
  <sheetData>
    <row r="1" spans="1:4" ht="15" thickBot="1" x14ac:dyDescent="0.4">
      <c r="A1" t="s">
        <v>18</v>
      </c>
      <c r="B1" t="s">
        <v>19</v>
      </c>
      <c r="C1" t="s">
        <v>68</v>
      </c>
      <c r="D1" t="s">
        <v>71</v>
      </c>
    </row>
    <row r="2" spans="1:4" ht="17.5" thickTop="1" thickBot="1" x14ac:dyDescent="0.4">
      <c r="A2" s="9" t="s">
        <v>10</v>
      </c>
      <c r="B2" s="10">
        <v>47</v>
      </c>
      <c r="C2">
        <v>0.5</v>
      </c>
      <c r="D2">
        <v>0.55555555555555558</v>
      </c>
    </row>
    <row r="3" spans="1:4" ht="17" thickBot="1" x14ac:dyDescent="0.4">
      <c r="A3" s="11" t="s">
        <v>11</v>
      </c>
      <c r="B3" s="8">
        <v>36</v>
      </c>
      <c r="C3">
        <v>0.5</v>
      </c>
      <c r="D3">
        <v>0.44444444444444442</v>
      </c>
    </row>
    <row r="4" spans="1:4" ht="17" thickBot="1" x14ac:dyDescent="0.4">
      <c r="A4" s="11" t="s">
        <v>12</v>
      </c>
      <c r="B4" s="8">
        <v>23</v>
      </c>
      <c r="C4">
        <v>0.63888888888888884</v>
      </c>
      <c r="D4">
        <v>0.40404040404040403</v>
      </c>
    </row>
    <row r="5" spans="1:4" ht="17" thickBot="1" x14ac:dyDescent="0.4">
      <c r="A5" s="11" t="s">
        <v>13</v>
      </c>
      <c r="B5" s="8">
        <v>60</v>
      </c>
      <c r="C5">
        <v>0.68055555555555558</v>
      </c>
      <c r="D5">
        <v>0.59595959595959591</v>
      </c>
    </row>
    <row r="6" spans="1:4" ht="17" thickBot="1" x14ac:dyDescent="0.4">
      <c r="A6" s="11" t="s">
        <v>14</v>
      </c>
      <c r="B6" s="8">
        <v>29</v>
      </c>
      <c r="C6">
        <v>0.3611111111111111</v>
      </c>
      <c r="D6">
        <v>0.43434343434343436</v>
      </c>
    </row>
    <row r="7" spans="1:4" ht="17" thickBot="1" x14ac:dyDescent="0.4">
      <c r="A7" s="11" t="s">
        <v>15</v>
      </c>
      <c r="B7" s="8">
        <v>54</v>
      </c>
      <c r="C7">
        <v>0.63888888888888884</v>
      </c>
      <c r="D7">
        <v>0.56565656565656564</v>
      </c>
    </row>
    <row r="8" spans="1:4" ht="17" thickBot="1" x14ac:dyDescent="0.4">
      <c r="A8" s="11" t="s">
        <v>16</v>
      </c>
      <c r="B8" s="8">
        <v>31</v>
      </c>
      <c r="C8">
        <v>0.63888888888888884</v>
      </c>
      <c r="D8">
        <v>0.50505050505050508</v>
      </c>
    </row>
    <row r="9" spans="1:4" ht="17" thickBot="1" x14ac:dyDescent="0.4">
      <c r="A9" s="12" t="s">
        <v>17</v>
      </c>
      <c r="B9" s="13">
        <v>52</v>
      </c>
      <c r="C9">
        <v>0.3611111111111111</v>
      </c>
      <c r="D9">
        <v>0.49494949494949497</v>
      </c>
    </row>
    <row r="10" spans="1:4" ht="15" thickTop="1" x14ac:dyDescent="0.35"/>
    <row r="15" spans="1:4" x14ac:dyDescent="0.35">
      <c r="A15" t="s">
        <v>42</v>
      </c>
    </row>
    <row r="16" spans="1:4" x14ac:dyDescent="0.35">
      <c r="A16" t="s">
        <v>43</v>
      </c>
    </row>
    <row r="17" spans="1:1" x14ac:dyDescent="0.35">
      <c r="A17" t="s">
        <v>44</v>
      </c>
    </row>
    <row r="18" spans="1:1" x14ac:dyDescent="0.35">
      <c r="A18" t="s">
        <v>45</v>
      </c>
    </row>
    <row r="19" spans="1:1" x14ac:dyDescent="0.35">
      <c r="A19" t="s">
        <v>46</v>
      </c>
    </row>
    <row r="20" spans="1:1" x14ac:dyDescent="0.35">
      <c r="A20" t="s">
        <v>47</v>
      </c>
    </row>
    <row r="21" spans="1:1" x14ac:dyDescent="0.35">
      <c r="A21" t="s">
        <v>48</v>
      </c>
    </row>
    <row r="22" spans="1:1" x14ac:dyDescent="0.35">
      <c r="A22" t="s">
        <v>49</v>
      </c>
    </row>
    <row r="23" spans="1:1" x14ac:dyDescent="0.35">
      <c r="A23" t="s">
        <v>50</v>
      </c>
    </row>
    <row r="24" spans="1:1" x14ac:dyDescent="0.35">
      <c r="A24" t="s">
        <v>51</v>
      </c>
    </row>
    <row r="25" spans="1:1" x14ac:dyDescent="0.35">
      <c r="A25" t="s">
        <v>52</v>
      </c>
    </row>
    <row r="26" spans="1:1" x14ac:dyDescent="0.35">
      <c r="A26" t="s">
        <v>53</v>
      </c>
    </row>
    <row r="27" spans="1:1" x14ac:dyDescent="0.35">
      <c r="A27" t="s">
        <v>54</v>
      </c>
    </row>
    <row r="28" spans="1:1" x14ac:dyDescent="0.35">
      <c r="A28" t="s">
        <v>55</v>
      </c>
    </row>
    <row r="29" spans="1:1" x14ac:dyDescent="0.35">
      <c r="A29" t="s">
        <v>56</v>
      </c>
    </row>
    <row r="30" spans="1:1" x14ac:dyDescent="0.35">
      <c r="A30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29f6279-0e28-4edd-8338-8230b9969525" xsi:nil="true"/>
    <lcf76f155ced4ddcb4097134ff3c332f xmlns="3dd1c965-52c6-4487-92af-739379b659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FD2B189224EAB429D6E9D951C4B8706" ma:contentTypeVersion="10" ma:contentTypeDescription="Opprett et nytt dokument." ma:contentTypeScope="" ma:versionID="76b2d4e0fbb0593b7295742e5623b229">
  <xsd:schema xmlns:xsd="http://www.w3.org/2001/XMLSchema" xmlns:xs="http://www.w3.org/2001/XMLSchema" xmlns:p="http://schemas.microsoft.com/office/2006/metadata/properties" xmlns:ns2="3dd1c965-52c6-4487-92af-739379b659ac" xmlns:ns3="e29f6279-0e28-4edd-8338-8230b9969525" targetNamespace="http://schemas.microsoft.com/office/2006/metadata/properties" ma:root="true" ma:fieldsID="4119151203ac95a509947089f64867e1" ns2:_="" ns3:_="">
    <xsd:import namespace="3dd1c965-52c6-4487-92af-739379b659ac"/>
    <xsd:import namespace="e29f6279-0e28-4edd-8338-8230b99695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1c965-52c6-4487-92af-739379b65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c22fd018-c39b-462c-89de-126a365ef1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f6279-0e28-4edd-8338-8230b99695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b18fe9-7da4-4eea-b296-0ec4f5d11b08}" ma:internalName="TaxCatchAll" ma:showField="CatchAllData" ma:web="e29f6279-0e28-4edd-8338-8230b99695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A37D53-FC29-4410-B618-98F3B97EF917}">
  <ds:schemaRefs>
    <ds:schemaRef ds:uri="http://schemas.microsoft.com/office/2006/metadata/properties"/>
    <ds:schemaRef ds:uri="http://schemas.microsoft.com/office/infopath/2007/PartnerControls"/>
    <ds:schemaRef ds:uri="5e171053-c555-4477-98de-8e4af5b2b8eb"/>
    <ds:schemaRef ds:uri="47fdb9fe-a18a-4051-893d-bbfa9f267468"/>
    <ds:schemaRef ds:uri="e29f6279-0e28-4edd-8338-8230b9969525"/>
    <ds:schemaRef ds:uri="3dd1c965-52c6-4487-92af-739379b659ac"/>
  </ds:schemaRefs>
</ds:datastoreItem>
</file>

<file path=customXml/itemProps2.xml><?xml version="1.0" encoding="utf-8"?>
<ds:datastoreItem xmlns:ds="http://schemas.openxmlformats.org/officeDocument/2006/customXml" ds:itemID="{DE011ECE-205D-4402-97FF-14742EC979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59A490-17BC-47E1-BDE8-74E34811E1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d1c965-52c6-4487-92af-739379b659ac"/>
    <ds:schemaRef ds:uri="e29f6279-0e28-4edd-8338-8230b99695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big-five</vt:lpstr>
      <vt:lpstr>mbti</vt:lpstr>
      <vt:lpstr>mbti_detailed</vt:lpstr>
      <vt:lpstr>formula_linear_interpolation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Kristin Bache-Mathiesen</dc:creator>
  <cp:lastModifiedBy>Lena Kristin Bache-Mathiesen</cp:lastModifiedBy>
  <dcterms:created xsi:type="dcterms:W3CDTF">2025-09-18T06:09:51Z</dcterms:created>
  <dcterms:modified xsi:type="dcterms:W3CDTF">2026-01-22T07:06:04Z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0x0101002FD2B189224EAB429D6E9D951C4B8706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